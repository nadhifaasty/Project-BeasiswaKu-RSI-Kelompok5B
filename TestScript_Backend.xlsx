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sitif" sheetId="1" state="visible" r:id="rId3"/>
    <sheet name="Negatif" sheetId="2" state="visible" r:id="rId4"/>
  </sheets>
  <definedNames>
    <definedName function="false" hidden="false" localSheetId="1" name="_xlnm.Print_Titles" vbProcedure="false">Negatif!$1:$8</definedName>
    <definedName function="false" hidden="false" localSheetId="0" name="_xlnm.Print_Titles" vbProcedure="false">Positif!$1:$8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<sst xmlns="http://schemas.openxmlformats.org/spreadsheetml/2006/main" count="324" uniqueCount="45">
  <si>
    <t xml:space="preserve">TEST SCRIPT REPORT — BACKEND (POSITIF)</t>
  </si>
  <si>
    <t xml:space="preserve">Nama Kelompok</t>
  </si>
  <si>
    <t xml:space="preserve">:</t>
  </si>
  <si>
    <t xml:space="preserve">Kelompok [Nama Kelompok]</t>
  </si>
  <si>
    <t xml:space="preserve">Kelas</t>
  </si>
  <si>
    <t xml:space="preserve">[Kelas, misal: A / B / C]</t>
  </si>
  <si>
    <t xml:space="preserve">Angkatan</t>
  </si>
  <si>
    <t xml:space="preserve">[Tahun Angkatan, misal: 2022]</t>
  </si>
  <si>
    <t xml:space="preserve">Nama Sistem</t>
  </si>
  <si>
    <t xml:space="preserve">[Nama Sistem / Aplikasi yang Diuji]</t>
  </si>
  <si>
    <t xml:space="preserve">Tipe Pengujian: Backend</t>
  </si>
  <si>
    <t xml:space="preserve">Skenario: Positif</t>
  </si>
  <si>
    <t xml:space="preserve">No.</t>
  </si>
  <si>
    <t xml:space="preserve">SRS Ref.</t>
  </si>
  <si>
    <t xml:space="preserve">FSD Ref.</t>
  </si>
  <si>
    <t xml:space="preserve">TSD Ref.</t>
  </si>
  <si>
    <t xml:space="preserve">No. Test Script</t>
  </si>
  <si>
    <t xml:space="preserve">Nama Fungsional</t>
  </si>
  <si>
    <t xml:space="preserve">URL / Endpoint</t>
  </si>
  <si>
    <t xml:space="preserve">Parameter / Value</t>
  </si>
  <si>
    <t xml:space="preserve">Ekspektasi</t>
  </si>
  <si>
    <t xml:space="preserve">Hasil Aktual</t>
  </si>
  <si>
    <t xml:space="preserve">Tgl Test</t>
  </si>
  <si>
    <t xml:space="preserve">PIC</t>
  </si>
  <si>
    <t xml:space="preserve">Screenshot Hasil</t>
  </si>
  <si>
    <t xml:space="preserve">Pass / Failed</t>
  </si>
  <si>
    <t xml:space="preserve">SRS-001</t>
  </si>
  <si>
    <t xml:space="preserve">FSD-001</t>
  </si>
  <si>
    <t xml:space="preserve">TSD-001</t>
  </si>
  <si>
    <t xml:space="preserve">TS-FE-001</t>
  </si>
  <si>
    <t xml:space="preserve">Login User</t>
  </si>
  <si>
    <t xml:space="preserve">/api/auth/login</t>
  </si>
  <si>
    <t xml:space="preserve">email=test@mail.com; pwd=***</t>
  </si>
  <si>
    <t xml:space="preserve">Status 200, token returned</t>
  </si>
  <si>
    <t xml:space="preserve">Status 200, token received</t>
  </si>
  <si>
    <t xml:space="preserve">01/06/2026</t>
  </si>
  <si>
    <t xml:space="preserve">Nama Tester</t>
  </si>
  <si>
    <t xml:space="preserve">Lihat lampiran / link</t>
  </si>
  <si>
    <t xml:space="preserve">Pass</t>
  </si>
  <si>
    <t xml:space="preserve">TOTAL TEST CASES</t>
  </si>
  <si>
    <t xml:space="preserve">PASS</t>
  </si>
  <si>
    <t xml:space="preserve">FAILED</t>
  </si>
  <si>
    <t xml:space="preserve">TEST SCRIPT REPORT — BACKEND (NEGATIF)</t>
  </si>
  <si>
    <t xml:space="preserve">Skenario: Negatif</t>
  </si>
  <si>
    <t xml:space="preserve">Failed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</si>
</sst>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1A3A6B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b val="true"/>
      <sz val="10"/>
      <color rgb="FF27622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3"/>
      <color rgb="FF4472C4"/>
      <name val="Arial"/>
      <family val="0"/>
      <charset val="1"/>
    </font>
    <font>
      <b val="true"/>
      <sz val="13"/>
      <color rgb="FF217346"/>
      <name val="Arial"/>
      <family val="0"/>
      <charset val="1"/>
    </font>
    <font>
      <b val="true"/>
      <sz val="13"/>
      <color rgb="FF9C0006"/>
      <name val="Arial"/>
      <family val="0"/>
      <charset val="1"/>
    </font>
    <font>
      <b val="true"/>
      <sz val="10"/>
      <color rgb="FF9C0006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A3A6B"/>
        <bgColor rgb="FF333399"/>
      </patternFill>
    </fill>
    <fill>
      <patternFill patternType="solid">
        <fgColor rgb="FFDCE6F1"/>
        <bgColor rgb="FFF2F2F2"/>
      </patternFill>
    </fill>
    <fill>
      <patternFill patternType="solid">
        <fgColor rgb="FF2E6096"/>
        <bgColor rgb="FF4472C4"/>
      </patternFill>
    </fill>
    <fill>
      <patternFill patternType="solid">
        <fgColor rgb="FF217346"/>
        <bgColor rgb="FF276221"/>
      </patternFill>
    </fill>
    <fill>
      <patternFill patternType="solid">
        <fgColor rgb="FFF2F2F2"/>
        <bgColor rgb="FFFFFFFF"/>
      </patternFill>
    </fill>
    <fill>
      <patternFill patternType="solid">
        <fgColor rgb="FFC6EFCE"/>
        <bgColor rgb="FFDCE6F1"/>
      </patternFill>
    </fill>
    <fill>
      <patternFill patternType="solid">
        <fgColor rgb="FFFFFFFF"/>
        <bgColor rgb="FFF2F2F2"/>
      </patternFill>
    </fill>
    <fill>
      <patternFill patternType="solid">
        <fgColor rgb="FF4472C4"/>
        <bgColor rgb="FF2E6096"/>
      </patternFill>
    </fill>
    <fill>
      <patternFill patternType="solid">
        <fgColor rgb="FF9C0006"/>
        <bgColor rgb="FF800000"/>
      </patternFill>
    </fill>
    <fill>
      <patternFill patternType="solid">
        <fgColor rgb="FFFFC7CE"/>
        <bgColor rgb="FFCC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808000"/>
      <rgbColor rgb="FF800080"/>
      <rgbColor rgb="FF217346"/>
      <rgbColor rgb="FFC0C0C0"/>
      <rgbColor rgb="FF888888"/>
      <rgbColor rgb="FF9999FF"/>
      <rgbColor rgb="FF993366"/>
      <rgbColor rgb="FFF2F2F2"/>
      <rgbColor rgb="FFDCE6F1"/>
      <rgbColor rgb="FF660066"/>
      <rgbColor rgb="FFFF8080"/>
      <rgbColor rgb="FF2E609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555555"/>
      <rgbColor rgb="FFAAAAAA"/>
      <rgbColor rgb="FF1A3A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4" min="2" style="0" width="11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28"/>
    <col collapsed="false" customWidth="true" hidden="false" outlineLevel="0" max="8" min="8" style="0" width="32"/>
    <col collapsed="false" customWidth="true" hidden="false" outlineLevel="0" max="10" min="9" style="0" width="30"/>
    <col collapsed="false" customWidth="true" hidden="false" outlineLevel="0" max="11" min="11" style="0" width="13"/>
    <col collapsed="false" customWidth="true" hidden="false" outlineLevel="0" max="12" min="12" style="0" width="16"/>
    <col collapsed="false" customWidth="true" hidden="false" outlineLevel="0" max="13" min="13" style="0" width="24"/>
    <col collapsed="false" customWidth="true" hidden="false" outlineLevel="0" max="14" min="14" style="0" width="13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A2" s="2" t="s">
        <v>1</v>
      </c>
      <c r="B2" s="2"/>
      <c r="C2" s="3" t="s">
        <v>2</v>
      </c>
      <c r="D2" s="4" t="s">
        <v>3</v>
      </c>
      <c r="E2" s="4"/>
      <c r="F2" s="4"/>
      <c r="G2" s="4"/>
      <c r="H2" s="4"/>
      <c r="I2" s="4"/>
      <c r="J2" s="4"/>
      <c r="K2" s="4"/>
      <c r="L2" s="4"/>
      <c r="M2" s="4"/>
      <c r="N2" s="4"/>
    </row>
    <row r="3" customFormat="false" ht="19.5" hidden="false" customHeight="true" outlineLevel="0" collapsed="false">
      <c r="A3" s="2" t="s">
        <v>4</v>
      </c>
      <c r="B3" s="2"/>
      <c r="C3" s="3" t="s">
        <v>2</v>
      </c>
      <c r="D3" s="4" t="s">
        <v>5</v>
      </c>
      <c r="E3" s="4"/>
      <c r="F3" s="4"/>
      <c r="G3" s="4"/>
      <c r="H3" s="4"/>
      <c r="I3" s="4"/>
      <c r="J3" s="4"/>
      <c r="K3" s="4"/>
      <c r="L3" s="4"/>
      <c r="M3" s="4"/>
      <c r="N3" s="4"/>
    </row>
    <row r="4" customFormat="false" ht="19.5" hidden="false" customHeight="true" outlineLevel="0" collapsed="false">
      <c r="A4" s="2" t="s">
        <v>6</v>
      </c>
      <c r="B4" s="2"/>
      <c r="C4" s="3" t="s">
        <v>2</v>
      </c>
      <c r="D4" s="4" t="s">
        <v>7</v>
      </c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19.5" hidden="false" customHeight="true" outlineLevel="0" collapsed="false">
      <c r="A5" s="2" t="s">
        <v>8</v>
      </c>
      <c r="B5" s="2"/>
      <c r="C5" s="3" t="s">
        <v>2</v>
      </c>
      <c r="D5" s="4" t="s">
        <v>9</v>
      </c>
      <c r="E5" s="4"/>
      <c r="F5" s="4"/>
      <c r="G5" s="4"/>
      <c r="H5" s="4"/>
      <c r="I5" s="4"/>
      <c r="J5" s="4"/>
      <c r="K5" s="4"/>
      <c r="L5" s="4"/>
      <c r="M5" s="4"/>
      <c r="N5" s="4"/>
    </row>
    <row r="6" customFormat="false" ht="21.75" hidden="false" customHeight="true" outlineLevel="0" collapsed="false">
      <c r="A6" s="5" t="s">
        <v>10</v>
      </c>
      <c r="B6" s="5"/>
      <c r="C6" s="5"/>
      <c r="D6" s="5"/>
      <c r="E6" s="5"/>
      <c r="F6" s="5"/>
      <c r="G6" s="5"/>
      <c r="H6" s="6" t="s">
        <v>11</v>
      </c>
      <c r="I6" s="6"/>
      <c r="J6" s="6"/>
      <c r="K6" s="6"/>
      <c r="L6" s="6"/>
      <c r="M6" s="6"/>
      <c r="N6" s="6"/>
    </row>
    <row r="7" customFormat="false" ht="6" hidden="false" customHeight="true" outlineLevel="0" collapsed="false"/>
    <row r="8" customFormat="false" ht="36" hidden="false" customHeight="true" outlineLevel="0" collapsed="false">
      <c r="A8" s="7" t="s">
        <v>12</v>
      </c>
      <c r="B8" s="7" t="s">
        <v>13</v>
      </c>
      <c r="C8" s="7" t="s">
        <v>14</v>
      </c>
      <c r="D8" s="7" t="s">
        <v>15</v>
      </c>
      <c r="E8" s="7" t="s">
        <v>16</v>
      </c>
      <c r="F8" s="7" t="s">
        <v>17</v>
      </c>
      <c r="G8" s="7" t="s">
        <v>18</v>
      </c>
      <c r="H8" s="7" t="s">
        <v>19</v>
      </c>
      <c r="I8" s="7" t="s">
        <v>20</v>
      </c>
      <c r="J8" s="7" t="s">
        <v>21</v>
      </c>
      <c r="K8" s="7" t="s">
        <v>22</v>
      </c>
      <c r="L8" s="7" t="s">
        <v>23</v>
      </c>
      <c r="M8" s="7" t="s">
        <v>24</v>
      </c>
      <c r="N8" s="7" t="s">
        <v>25</v>
      </c>
    </row>
    <row r="9" customFormat="false" ht="21.75" hidden="false" customHeight="true" outlineLevel="0" collapsed="false">
      <c r="A9" s="8" t="n">
        <f aca="false">1</f>
        <v>1</v>
      </c>
      <c r="B9" s="9" t="s">
        <v>26</v>
      </c>
      <c r="C9" s="9" t="s">
        <v>27</v>
      </c>
      <c r="D9" s="9" t="s">
        <v>28</v>
      </c>
      <c r="E9" s="9" t="s">
        <v>29</v>
      </c>
      <c r="F9" s="9" t="s">
        <v>30</v>
      </c>
      <c r="G9" s="9" t="s">
        <v>31</v>
      </c>
      <c r="H9" s="9" t="s">
        <v>32</v>
      </c>
      <c r="I9" s="9" t="s">
        <v>33</v>
      </c>
      <c r="J9" s="9" t="s">
        <v>34</v>
      </c>
      <c r="K9" s="9" t="s">
        <v>35</v>
      </c>
      <c r="L9" s="9" t="s">
        <v>36</v>
      </c>
      <c r="M9" s="9" t="s">
        <v>37</v>
      </c>
      <c r="N9" s="10" t="s">
        <v>38</v>
      </c>
    </row>
    <row r="10" customFormat="false" ht="21.75" hidden="false" customHeight="true" outlineLevel="0" collapsed="false">
      <c r="A10" s="11" t="n">
        <f aca="false">2</f>
        <v>2</v>
      </c>
      <c r="B10" s="12" t="s">
        <v>26</v>
      </c>
      <c r="C10" s="12" t="s">
        <v>27</v>
      </c>
      <c r="D10" s="12" t="s">
        <v>28</v>
      </c>
      <c r="E10" s="12" t="s">
        <v>29</v>
      </c>
      <c r="F10" s="12" t="s">
        <v>30</v>
      </c>
      <c r="G10" s="12" t="s">
        <v>31</v>
      </c>
      <c r="H10" s="12" t="s">
        <v>32</v>
      </c>
      <c r="I10" s="12" t="s">
        <v>33</v>
      </c>
      <c r="J10" s="12" t="s">
        <v>34</v>
      </c>
      <c r="K10" s="12" t="s">
        <v>35</v>
      </c>
      <c r="L10" s="12" t="s">
        <v>36</v>
      </c>
      <c r="M10" s="12" t="s">
        <v>37</v>
      </c>
      <c r="N10" s="10" t="s">
        <v>38</v>
      </c>
    </row>
    <row r="11" customFormat="false" ht="21.75" hidden="false" customHeight="true" outlineLevel="0" collapsed="false">
      <c r="A11" s="8" t="n">
        <f aca="false">3</f>
        <v>3</v>
      </c>
      <c r="B11" s="9" t="s">
        <v>26</v>
      </c>
      <c r="C11" s="9" t="s">
        <v>27</v>
      </c>
      <c r="D11" s="9" t="s">
        <v>28</v>
      </c>
      <c r="E11" s="9" t="s">
        <v>29</v>
      </c>
      <c r="F11" s="9" t="s">
        <v>30</v>
      </c>
      <c r="G11" s="9" t="s">
        <v>31</v>
      </c>
      <c r="H11" s="9" t="s">
        <v>32</v>
      </c>
      <c r="I11" s="9" t="s">
        <v>33</v>
      </c>
      <c r="J11" s="9" t="s">
        <v>34</v>
      </c>
      <c r="K11" s="9" t="s">
        <v>35</v>
      </c>
      <c r="L11" s="9" t="s">
        <v>36</v>
      </c>
      <c r="M11" s="9" t="s">
        <v>37</v>
      </c>
      <c r="N11" s="10" t="s">
        <v>38</v>
      </c>
    </row>
    <row r="12" customFormat="false" ht="21.75" hidden="false" customHeight="true" outlineLevel="0" collapsed="false">
      <c r="A12" s="11" t="n">
        <f aca="false">4</f>
        <v>4</v>
      </c>
      <c r="B12" s="12" t="s">
        <v>26</v>
      </c>
      <c r="C12" s="12" t="s">
        <v>27</v>
      </c>
      <c r="D12" s="12" t="s">
        <v>28</v>
      </c>
      <c r="E12" s="12" t="s">
        <v>29</v>
      </c>
      <c r="F12" s="12" t="s">
        <v>30</v>
      </c>
      <c r="G12" s="12" t="s">
        <v>31</v>
      </c>
      <c r="H12" s="12" t="s">
        <v>32</v>
      </c>
      <c r="I12" s="12" t="s">
        <v>33</v>
      </c>
      <c r="J12" s="12" t="s">
        <v>34</v>
      </c>
      <c r="K12" s="12" t="s">
        <v>35</v>
      </c>
      <c r="L12" s="12" t="s">
        <v>36</v>
      </c>
      <c r="M12" s="12" t="s">
        <v>37</v>
      </c>
      <c r="N12" s="10" t="s">
        <v>38</v>
      </c>
    </row>
    <row r="13" customFormat="false" ht="21.75" hidden="false" customHeight="true" outlineLevel="0" collapsed="false">
      <c r="A13" s="8" t="n">
        <f aca="false">5</f>
        <v>5</v>
      </c>
      <c r="B13" s="9" t="s">
        <v>26</v>
      </c>
      <c r="C13" s="9" t="s">
        <v>27</v>
      </c>
      <c r="D13" s="9" t="s">
        <v>28</v>
      </c>
      <c r="E13" s="9" t="s">
        <v>29</v>
      </c>
      <c r="F13" s="9" t="s">
        <v>30</v>
      </c>
      <c r="G13" s="9" t="s">
        <v>31</v>
      </c>
      <c r="H13" s="9" t="s">
        <v>32</v>
      </c>
      <c r="I13" s="9" t="s">
        <v>33</v>
      </c>
      <c r="J13" s="9" t="s">
        <v>34</v>
      </c>
      <c r="K13" s="9" t="s">
        <v>35</v>
      </c>
      <c r="L13" s="9" t="s">
        <v>36</v>
      </c>
      <c r="M13" s="9" t="s">
        <v>37</v>
      </c>
      <c r="N13" s="10" t="s">
        <v>38</v>
      </c>
    </row>
    <row r="14" customFormat="false" ht="21.75" hidden="false" customHeight="true" outlineLevel="0" collapsed="false">
      <c r="A14" s="11" t="n">
        <f aca="false">6</f>
        <v>6</v>
      </c>
      <c r="B14" s="12" t="s">
        <v>26</v>
      </c>
      <c r="C14" s="12" t="s">
        <v>27</v>
      </c>
      <c r="D14" s="12" t="s">
        <v>28</v>
      </c>
      <c r="E14" s="12" t="s">
        <v>29</v>
      </c>
      <c r="F14" s="12" t="s">
        <v>30</v>
      </c>
      <c r="G14" s="12" t="s">
        <v>31</v>
      </c>
      <c r="H14" s="12" t="s">
        <v>32</v>
      </c>
      <c r="I14" s="12" t="s">
        <v>33</v>
      </c>
      <c r="J14" s="12" t="s">
        <v>34</v>
      </c>
      <c r="K14" s="12" t="s">
        <v>35</v>
      </c>
      <c r="L14" s="12" t="s">
        <v>36</v>
      </c>
      <c r="M14" s="12" t="s">
        <v>37</v>
      </c>
      <c r="N14" s="10" t="s">
        <v>38</v>
      </c>
    </row>
    <row r="15" customFormat="false" ht="21.75" hidden="false" customHeight="true" outlineLevel="0" collapsed="false">
      <c r="A15" s="8" t="n">
        <f aca="false">7</f>
        <v>7</v>
      </c>
      <c r="B15" s="9" t="s">
        <v>26</v>
      </c>
      <c r="C15" s="9" t="s">
        <v>27</v>
      </c>
      <c r="D15" s="9" t="s">
        <v>28</v>
      </c>
      <c r="E15" s="9" t="s">
        <v>29</v>
      </c>
      <c r="F15" s="9" t="s">
        <v>30</v>
      </c>
      <c r="G15" s="9" t="s">
        <v>31</v>
      </c>
      <c r="H15" s="9" t="s">
        <v>32</v>
      </c>
      <c r="I15" s="9" t="s">
        <v>33</v>
      </c>
      <c r="J15" s="9" t="s">
        <v>34</v>
      </c>
      <c r="K15" s="9" t="s">
        <v>35</v>
      </c>
      <c r="L15" s="9" t="s">
        <v>36</v>
      </c>
      <c r="M15" s="9" t="s">
        <v>37</v>
      </c>
      <c r="N15" s="10" t="s">
        <v>38</v>
      </c>
    </row>
    <row r="16" customFormat="false" ht="21.75" hidden="false" customHeight="true" outlineLevel="0" collapsed="false">
      <c r="A16" s="11" t="n">
        <f aca="false">8</f>
        <v>8</v>
      </c>
      <c r="B16" s="12" t="s">
        <v>26</v>
      </c>
      <c r="C16" s="12" t="s">
        <v>27</v>
      </c>
      <c r="D16" s="12" t="s">
        <v>28</v>
      </c>
      <c r="E16" s="12" t="s">
        <v>29</v>
      </c>
      <c r="F16" s="12" t="s">
        <v>30</v>
      </c>
      <c r="G16" s="12" t="s">
        <v>31</v>
      </c>
      <c r="H16" s="12" t="s">
        <v>32</v>
      </c>
      <c r="I16" s="12" t="s">
        <v>33</v>
      </c>
      <c r="J16" s="12" t="s">
        <v>34</v>
      </c>
      <c r="K16" s="12" t="s">
        <v>35</v>
      </c>
      <c r="L16" s="12" t="s">
        <v>36</v>
      </c>
      <c r="M16" s="12" t="s">
        <v>37</v>
      </c>
      <c r="N16" s="10" t="s">
        <v>38</v>
      </c>
    </row>
    <row r="17" customFormat="false" ht="21.75" hidden="false" customHeight="true" outlineLevel="0" collapsed="false">
      <c r="A17" s="8" t="n">
        <f aca="false">9</f>
        <v>9</v>
      </c>
      <c r="B17" s="9" t="s">
        <v>26</v>
      </c>
      <c r="C17" s="9" t="s">
        <v>27</v>
      </c>
      <c r="D17" s="9" t="s">
        <v>28</v>
      </c>
      <c r="E17" s="9" t="s">
        <v>29</v>
      </c>
      <c r="F17" s="9" t="s">
        <v>30</v>
      </c>
      <c r="G17" s="9" t="s">
        <v>31</v>
      </c>
      <c r="H17" s="9" t="s">
        <v>32</v>
      </c>
      <c r="I17" s="9" t="s">
        <v>33</v>
      </c>
      <c r="J17" s="9" t="s">
        <v>34</v>
      </c>
      <c r="K17" s="9" t="s">
        <v>35</v>
      </c>
      <c r="L17" s="9" t="s">
        <v>36</v>
      </c>
      <c r="M17" s="9" t="s">
        <v>37</v>
      </c>
      <c r="N17" s="10" t="s">
        <v>38</v>
      </c>
    </row>
    <row r="18" customFormat="false" ht="21.75" hidden="false" customHeight="true" outlineLevel="0" collapsed="false">
      <c r="A18" s="11" t="n">
        <f aca="false">10</f>
        <v>10</v>
      </c>
      <c r="B18" s="12" t="s">
        <v>26</v>
      </c>
      <c r="C18" s="12" t="s">
        <v>27</v>
      </c>
      <c r="D18" s="12" t="s">
        <v>28</v>
      </c>
      <c r="E18" s="12" t="s">
        <v>29</v>
      </c>
      <c r="F18" s="12" t="s">
        <v>30</v>
      </c>
      <c r="G18" s="12" t="s">
        <v>31</v>
      </c>
      <c r="H18" s="12" t="s">
        <v>32</v>
      </c>
      <c r="I18" s="12" t="s">
        <v>33</v>
      </c>
      <c r="J18" s="12" t="s">
        <v>34</v>
      </c>
      <c r="K18" s="12" t="s">
        <v>35</v>
      </c>
      <c r="L18" s="12" t="s">
        <v>36</v>
      </c>
      <c r="M18" s="12" t="s">
        <v>37</v>
      </c>
      <c r="N18" s="10" t="s">
        <v>38</v>
      </c>
    </row>
    <row r="19" customFormat="false" ht="7.5" hidden="false" customHeight="true" outlineLevel="0" collapsed="false"/>
    <row r="20" customFormat="false" ht="21.75" hidden="false" customHeight="true" outlineLevel="0" collapsed="false">
      <c r="A20" s="13" t="s">
        <v>39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4" t="n">
        <f aca="false">COUNTA(N9:N1000)-COUNTBLANK(N9:N1000)</f>
        <v>-972</v>
      </c>
      <c r="M20" s="14"/>
      <c r="N20" s="14"/>
    </row>
    <row r="21" customFormat="false" ht="21.75" hidden="false" customHeight="true" outlineLevel="0" collapsed="false">
      <c r="A21" s="15" t="s">
        <v>40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6" t="n">
        <f aca="false">COUNTIF(N9:N1000,"Pass")</f>
        <v>10</v>
      </c>
      <c r="M21" s="16"/>
      <c r="N21" s="16"/>
    </row>
    <row r="22" customFormat="false" ht="21.75" hidden="false" customHeight="true" outlineLevel="0" collapsed="false">
      <c r="A22" s="17" t="s">
        <v>41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8" t="n">
        <f aca="false">COUNTIF(N9:N1000,"Failed")</f>
        <v>0</v>
      </c>
      <c r="M22" s="18"/>
      <c r="N22" s="18"/>
    </row>
  </sheetData>
  <mergeCells count="17">
    <mergeCell ref="A1:N1"/>
    <mergeCell ref="A2:B2"/>
    <mergeCell ref="D2:N2"/>
    <mergeCell ref="A3:B3"/>
    <mergeCell ref="D3:N3"/>
    <mergeCell ref="A4:B4"/>
    <mergeCell ref="D4:N4"/>
    <mergeCell ref="A5:B5"/>
    <mergeCell ref="D5:N5"/>
    <mergeCell ref="A6:G6"/>
    <mergeCell ref="H6:N6"/>
    <mergeCell ref="A20:K20"/>
    <mergeCell ref="L20:N20"/>
    <mergeCell ref="A21:K21"/>
    <mergeCell ref="L21:N21"/>
    <mergeCell ref="A22:K22"/>
    <mergeCell ref="L22:N22"/>
  </mergeCells>
  <dataValidations count="1">
    <dataValidation allowBlank="false" error="Hanya boleh memilih Pass atau Failed" errorStyle="stop" errorTitle="Input Tidak Valid" operator="between" showDropDown="false" showErrorMessage="true" showInputMessage="false" sqref="N9:N1000" type="list">
      <formula1>"Pass,Failed"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4" min="2" style="0" width="11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28"/>
    <col collapsed="false" customWidth="true" hidden="false" outlineLevel="0" max="8" min="8" style="0" width="32"/>
    <col collapsed="false" customWidth="true" hidden="false" outlineLevel="0" max="10" min="9" style="0" width="30"/>
    <col collapsed="false" customWidth="true" hidden="false" outlineLevel="0" max="11" min="11" style="0" width="13"/>
    <col collapsed="false" customWidth="true" hidden="false" outlineLevel="0" max="12" min="12" style="0" width="16"/>
    <col collapsed="false" customWidth="true" hidden="false" outlineLevel="0" max="13" min="13" style="0" width="24"/>
    <col collapsed="false" customWidth="true" hidden="false" outlineLevel="0" max="14" min="14" style="0" width="13"/>
  </cols>
  <sheetData>
    <row r="1" customFormat="false" ht="30" hidden="false" customHeight="true" outlineLevel="0" collapsed="false">
      <c r="A1" s="1" t="s">
        <v>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A2" s="2" t="s">
        <v>1</v>
      </c>
      <c r="B2" s="2"/>
      <c r="C2" s="3" t="s">
        <v>2</v>
      </c>
      <c r="D2" s="4" t="s">
        <v>3</v>
      </c>
      <c r="E2" s="4"/>
      <c r="F2" s="4"/>
      <c r="G2" s="4"/>
      <c r="H2" s="4"/>
      <c r="I2" s="4"/>
      <c r="J2" s="4"/>
      <c r="K2" s="4"/>
      <c r="L2" s="4"/>
      <c r="M2" s="4"/>
      <c r="N2" s="4"/>
    </row>
    <row r="3" customFormat="false" ht="19.5" hidden="false" customHeight="true" outlineLevel="0" collapsed="false">
      <c r="A3" s="2" t="s">
        <v>4</v>
      </c>
      <c r="B3" s="2"/>
      <c r="C3" s="3" t="s">
        <v>2</v>
      </c>
      <c r="D3" s="4" t="s">
        <v>5</v>
      </c>
      <c r="E3" s="4"/>
      <c r="F3" s="4"/>
      <c r="G3" s="4"/>
      <c r="H3" s="4"/>
      <c r="I3" s="4"/>
      <c r="J3" s="4"/>
      <c r="K3" s="4"/>
      <c r="L3" s="4"/>
      <c r="M3" s="4"/>
      <c r="N3" s="4"/>
    </row>
    <row r="4" customFormat="false" ht="19.5" hidden="false" customHeight="true" outlineLevel="0" collapsed="false">
      <c r="A4" s="2" t="s">
        <v>6</v>
      </c>
      <c r="B4" s="2"/>
      <c r="C4" s="3" t="s">
        <v>2</v>
      </c>
      <c r="D4" s="4" t="s">
        <v>7</v>
      </c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19.5" hidden="false" customHeight="true" outlineLevel="0" collapsed="false">
      <c r="A5" s="2" t="s">
        <v>8</v>
      </c>
      <c r="B5" s="2"/>
      <c r="C5" s="3" t="s">
        <v>2</v>
      </c>
      <c r="D5" s="4" t="s">
        <v>9</v>
      </c>
      <c r="E5" s="4"/>
      <c r="F5" s="4"/>
      <c r="G5" s="4"/>
      <c r="H5" s="4"/>
      <c r="I5" s="4"/>
      <c r="J5" s="4"/>
      <c r="K5" s="4"/>
      <c r="L5" s="4"/>
      <c r="M5" s="4"/>
      <c r="N5" s="4"/>
    </row>
    <row r="6" customFormat="false" ht="21.75" hidden="false" customHeight="true" outlineLevel="0" collapsed="false">
      <c r="A6" s="5" t="s">
        <v>10</v>
      </c>
      <c r="B6" s="5"/>
      <c r="C6" s="5"/>
      <c r="D6" s="5"/>
      <c r="E6" s="5"/>
      <c r="F6" s="5"/>
      <c r="G6" s="5"/>
      <c r="H6" s="19" t="s">
        <v>43</v>
      </c>
      <c r="I6" s="19"/>
      <c r="J6" s="19"/>
      <c r="K6" s="19"/>
      <c r="L6" s="19"/>
      <c r="M6" s="19"/>
      <c r="N6" s="19"/>
    </row>
    <row r="7" customFormat="false" ht="6" hidden="false" customHeight="true" outlineLevel="0" collapsed="false"/>
    <row r="8" customFormat="false" ht="36" hidden="false" customHeight="true" outlineLevel="0" collapsed="false">
      <c r="A8" s="7" t="s">
        <v>12</v>
      </c>
      <c r="B8" s="7" t="s">
        <v>13</v>
      </c>
      <c r="C8" s="7" t="s">
        <v>14</v>
      </c>
      <c r="D8" s="7" t="s">
        <v>15</v>
      </c>
      <c r="E8" s="7" t="s">
        <v>16</v>
      </c>
      <c r="F8" s="7" t="s">
        <v>17</v>
      </c>
      <c r="G8" s="7" t="s">
        <v>18</v>
      </c>
      <c r="H8" s="7" t="s">
        <v>19</v>
      </c>
      <c r="I8" s="7" t="s">
        <v>20</v>
      </c>
      <c r="J8" s="7" t="s">
        <v>21</v>
      </c>
      <c r="K8" s="7" t="s">
        <v>22</v>
      </c>
      <c r="L8" s="7" t="s">
        <v>23</v>
      </c>
      <c r="M8" s="7" t="s">
        <v>24</v>
      </c>
      <c r="N8" s="7" t="s">
        <v>25</v>
      </c>
    </row>
    <row r="9" customFormat="false" ht="21.75" hidden="false" customHeight="true" outlineLevel="0" collapsed="false">
      <c r="A9" s="8" t="n">
        <f aca="false">1</f>
        <v>1</v>
      </c>
      <c r="B9" s="9" t="s">
        <v>26</v>
      </c>
      <c r="C9" s="9" t="s">
        <v>27</v>
      </c>
      <c r="D9" s="9" t="s">
        <v>28</v>
      </c>
      <c r="E9" s="9" t="s">
        <v>29</v>
      </c>
      <c r="F9" s="9" t="s">
        <v>30</v>
      </c>
      <c r="G9" s="9" t="s">
        <v>31</v>
      </c>
      <c r="H9" s="9" t="s">
        <v>32</v>
      </c>
      <c r="I9" s="9" t="s">
        <v>33</v>
      </c>
      <c r="J9" s="9" t="s">
        <v>34</v>
      </c>
      <c r="K9" s="9" t="s">
        <v>35</v>
      </c>
      <c r="L9" s="9" t="s">
        <v>36</v>
      </c>
      <c r="M9" s="9" t="s">
        <v>37</v>
      </c>
      <c r="N9" s="20" t="s">
        <v>44</v>
      </c>
    </row>
    <row r="10" customFormat="false" ht="21.75" hidden="false" customHeight="true" outlineLevel="0" collapsed="false">
      <c r="A10" s="11" t="n">
        <f aca="false">2</f>
        <v>2</v>
      </c>
      <c r="B10" s="12" t="s">
        <v>26</v>
      </c>
      <c r="C10" s="12" t="s">
        <v>27</v>
      </c>
      <c r="D10" s="12" t="s">
        <v>28</v>
      </c>
      <c r="E10" s="12" t="s">
        <v>29</v>
      </c>
      <c r="F10" s="12" t="s">
        <v>30</v>
      </c>
      <c r="G10" s="12" t="s">
        <v>31</v>
      </c>
      <c r="H10" s="12" t="s">
        <v>32</v>
      </c>
      <c r="I10" s="12" t="s">
        <v>33</v>
      </c>
      <c r="J10" s="12" t="s">
        <v>34</v>
      </c>
      <c r="K10" s="12" t="s">
        <v>35</v>
      </c>
      <c r="L10" s="12" t="s">
        <v>36</v>
      </c>
      <c r="M10" s="12" t="s">
        <v>37</v>
      </c>
      <c r="N10" s="20" t="s">
        <v>44</v>
      </c>
    </row>
    <row r="11" customFormat="false" ht="21.75" hidden="false" customHeight="true" outlineLevel="0" collapsed="false">
      <c r="A11" s="8" t="n">
        <f aca="false">3</f>
        <v>3</v>
      </c>
      <c r="B11" s="9" t="s">
        <v>26</v>
      </c>
      <c r="C11" s="9" t="s">
        <v>27</v>
      </c>
      <c r="D11" s="9" t="s">
        <v>28</v>
      </c>
      <c r="E11" s="9" t="s">
        <v>29</v>
      </c>
      <c r="F11" s="9" t="s">
        <v>30</v>
      </c>
      <c r="G11" s="9" t="s">
        <v>31</v>
      </c>
      <c r="H11" s="9" t="s">
        <v>32</v>
      </c>
      <c r="I11" s="9" t="s">
        <v>33</v>
      </c>
      <c r="J11" s="9" t="s">
        <v>34</v>
      </c>
      <c r="K11" s="9" t="s">
        <v>35</v>
      </c>
      <c r="L11" s="9" t="s">
        <v>36</v>
      </c>
      <c r="M11" s="9" t="s">
        <v>37</v>
      </c>
      <c r="N11" s="20" t="s">
        <v>44</v>
      </c>
    </row>
    <row r="12" customFormat="false" ht="21.75" hidden="false" customHeight="true" outlineLevel="0" collapsed="false">
      <c r="A12" s="11" t="n">
        <f aca="false">4</f>
        <v>4</v>
      </c>
      <c r="B12" s="12" t="s">
        <v>26</v>
      </c>
      <c r="C12" s="12" t="s">
        <v>27</v>
      </c>
      <c r="D12" s="12" t="s">
        <v>28</v>
      </c>
      <c r="E12" s="12" t="s">
        <v>29</v>
      </c>
      <c r="F12" s="12" t="s">
        <v>30</v>
      </c>
      <c r="G12" s="12" t="s">
        <v>31</v>
      </c>
      <c r="H12" s="12" t="s">
        <v>32</v>
      </c>
      <c r="I12" s="12" t="s">
        <v>33</v>
      </c>
      <c r="J12" s="12" t="s">
        <v>34</v>
      </c>
      <c r="K12" s="12" t="s">
        <v>35</v>
      </c>
      <c r="L12" s="12" t="s">
        <v>36</v>
      </c>
      <c r="M12" s="12" t="s">
        <v>37</v>
      </c>
      <c r="N12" s="20" t="s">
        <v>44</v>
      </c>
    </row>
    <row r="13" customFormat="false" ht="21.75" hidden="false" customHeight="true" outlineLevel="0" collapsed="false">
      <c r="A13" s="8" t="n">
        <f aca="false">5</f>
        <v>5</v>
      </c>
      <c r="B13" s="9" t="s">
        <v>26</v>
      </c>
      <c r="C13" s="9" t="s">
        <v>27</v>
      </c>
      <c r="D13" s="9" t="s">
        <v>28</v>
      </c>
      <c r="E13" s="9" t="s">
        <v>29</v>
      </c>
      <c r="F13" s="9" t="s">
        <v>30</v>
      </c>
      <c r="G13" s="9" t="s">
        <v>31</v>
      </c>
      <c r="H13" s="9" t="s">
        <v>32</v>
      </c>
      <c r="I13" s="9" t="s">
        <v>33</v>
      </c>
      <c r="J13" s="9" t="s">
        <v>34</v>
      </c>
      <c r="K13" s="9" t="s">
        <v>35</v>
      </c>
      <c r="L13" s="9" t="s">
        <v>36</v>
      </c>
      <c r="M13" s="9" t="s">
        <v>37</v>
      </c>
      <c r="N13" s="20" t="s">
        <v>44</v>
      </c>
    </row>
    <row r="14" customFormat="false" ht="21.75" hidden="false" customHeight="true" outlineLevel="0" collapsed="false">
      <c r="A14" s="11" t="n">
        <f aca="false">6</f>
        <v>6</v>
      </c>
      <c r="B14" s="12" t="s">
        <v>26</v>
      </c>
      <c r="C14" s="12" t="s">
        <v>27</v>
      </c>
      <c r="D14" s="12" t="s">
        <v>28</v>
      </c>
      <c r="E14" s="12" t="s">
        <v>29</v>
      </c>
      <c r="F14" s="12" t="s">
        <v>30</v>
      </c>
      <c r="G14" s="12" t="s">
        <v>31</v>
      </c>
      <c r="H14" s="12" t="s">
        <v>32</v>
      </c>
      <c r="I14" s="12" t="s">
        <v>33</v>
      </c>
      <c r="J14" s="12" t="s">
        <v>34</v>
      </c>
      <c r="K14" s="12" t="s">
        <v>35</v>
      </c>
      <c r="L14" s="12" t="s">
        <v>36</v>
      </c>
      <c r="M14" s="12" t="s">
        <v>37</v>
      </c>
      <c r="N14" s="20" t="s">
        <v>44</v>
      </c>
    </row>
    <row r="15" customFormat="false" ht="21.75" hidden="false" customHeight="true" outlineLevel="0" collapsed="false">
      <c r="A15" s="8" t="n">
        <f aca="false">7</f>
        <v>7</v>
      </c>
      <c r="B15" s="9" t="s">
        <v>26</v>
      </c>
      <c r="C15" s="9" t="s">
        <v>27</v>
      </c>
      <c r="D15" s="9" t="s">
        <v>28</v>
      </c>
      <c r="E15" s="9" t="s">
        <v>29</v>
      </c>
      <c r="F15" s="9" t="s">
        <v>30</v>
      </c>
      <c r="G15" s="9" t="s">
        <v>31</v>
      </c>
      <c r="H15" s="9" t="s">
        <v>32</v>
      </c>
      <c r="I15" s="9" t="s">
        <v>33</v>
      </c>
      <c r="J15" s="9" t="s">
        <v>34</v>
      </c>
      <c r="K15" s="9" t="s">
        <v>35</v>
      </c>
      <c r="L15" s="9" t="s">
        <v>36</v>
      </c>
      <c r="M15" s="9" t="s">
        <v>37</v>
      </c>
      <c r="N15" s="20" t="s">
        <v>44</v>
      </c>
    </row>
    <row r="16" customFormat="false" ht="21.75" hidden="false" customHeight="true" outlineLevel="0" collapsed="false">
      <c r="A16" s="11" t="n">
        <f aca="false">8</f>
        <v>8</v>
      </c>
      <c r="B16" s="12" t="s">
        <v>26</v>
      </c>
      <c r="C16" s="12" t="s">
        <v>27</v>
      </c>
      <c r="D16" s="12" t="s">
        <v>28</v>
      </c>
      <c r="E16" s="12" t="s">
        <v>29</v>
      </c>
      <c r="F16" s="12" t="s">
        <v>30</v>
      </c>
      <c r="G16" s="12" t="s">
        <v>31</v>
      </c>
      <c r="H16" s="12" t="s">
        <v>32</v>
      </c>
      <c r="I16" s="12" t="s">
        <v>33</v>
      </c>
      <c r="J16" s="12" t="s">
        <v>34</v>
      </c>
      <c r="K16" s="12" t="s">
        <v>35</v>
      </c>
      <c r="L16" s="12" t="s">
        <v>36</v>
      </c>
      <c r="M16" s="12" t="s">
        <v>37</v>
      </c>
      <c r="N16" s="20" t="s">
        <v>44</v>
      </c>
    </row>
    <row r="17" customFormat="false" ht="21.75" hidden="false" customHeight="true" outlineLevel="0" collapsed="false">
      <c r="A17" s="8" t="n">
        <f aca="false">9</f>
        <v>9</v>
      </c>
      <c r="B17" s="9" t="s">
        <v>26</v>
      </c>
      <c r="C17" s="9" t="s">
        <v>27</v>
      </c>
      <c r="D17" s="9" t="s">
        <v>28</v>
      </c>
      <c r="E17" s="9" t="s">
        <v>29</v>
      </c>
      <c r="F17" s="9" t="s">
        <v>30</v>
      </c>
      <c r="G17" s="9" t="s">
        <v>31</v>
      </c>
      <c r="H17" s="9" t="s">
        <v>32</v>
      </c>
      <c r="I17" s="9" t="s">
        <v>33</v>
      </c>
      <c r="J17" s="9" t="s">
        <v>34</v>
      </c>
      <c r="K17" s="9" t="s">
        <v>35</v>
      </c>
      <c r="L17" s="9" t="s">
        <v>36</v>
      </c>
      <c r="M17" s="9" t="s">
        <v>37</v>
      </c>
      <c r="N17" s="20" t="s">
        <v>44</v>
      </c>
    </row>
    <row r="18" customFormat="false" ht="21.75" hidden="false" customHeight="true" outlineLevel="0" collapsed="false">
      <c r="A18" s="11" t="n">
        <f aca="false">10</f>
        <v>10</v>
      </c>
      <c r="B18" s="12" t="s">
        <v>26</v>
      </c>
      <c r="C18" s="12" t="s">
        <v>27</v>
      </c>
      <c r="D18" s="12" t="s">
        <v>28</v>
      </c>
      <c r="E18" s="12" t="s">
        <v>29</v>
      </c>
      <c r="F18" s="12" t="s">
        <v>30</v>
      </c>
      <c r="G18" s="12" t="s">
        <v>31</v>
      </c>
      <c r="H18" s="12" t="s">
        <v>32</v>
      </c>
      <c r="I18" s="12" t="s">
        <v>33</v>
      </c>
      <c r="J18" s="12" t="s">
        <v>34</v>
      </c>
      <c r="K18" s="12" t="s">
        <v>35</v>
      </c>
      <c r="L18" s="12" t="s">
        <v>36</v>
      </c>
      <c r="M18" s="12" t="s">
        <v>37</v>
      </c>
      <c r="N18" s="20" t="s">
        <v>44</v>
      </c>
    </row>
    <row r="19" customFormat="false" ht="7.5" hidden="false" customHeight="true" outlineLevel="0" collapsed="false"/>
    <row r="20" customFormat="false" ht="21.75" hidden="false" customHeight="true" outlineLevel="0" collapsed="false">
      <c r="A20" s="13" t="s">
        <v>39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4" t="n">
        <f aca="false">COUNTA(N9:N1000)-COUNTBLANK(N9:N1000)</f>
        <v>-972</v>
      </c>
      <c r="M20" s="14"/>
      <c r="N20" s="14"/>
    </row>
    <row r="21" customFormat="false" ht="21.75" hidden="false" customHeight="true" outlineLevel="0" collapsed="false">
      <c r="A21" s="15" t="s">
        <v>40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6" t="n">
        <f aca="false">COUNTIF(N9:N1000,"Pass")</f>
        <v>0</v>
      </c>
      <c r="M21" s="16"/>
      <c r="N21" s="16"/>
    </row>
    <row r="22" customFormat="false" ht="21.75" hidden="false" customHeight="true" outlineLevel="0" collapsed="false">
      <c r="A22" s="17" t="s">
        <v>41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8" t="n">
        <f aca="false">COUNTIF(N9:N1000,"Failed")</f>
        <v>10</v>
      </c>
      <c r="M22" s="18"/>
      <c r="N22" s="18"/>
    </row>
  </sheetData>
  <mergeCells count="17">
    <mergeCell ref="A1:N1"/>
    <mergeCell ref="A2:B2"/>
    <mergeCell ref="D2:N2"/>
    <mergeCell ref="A3:B3"/>
    <mergeCell ref="D3:N3"/>
    <mergeCell ref="A4:B4"/>
    <mergeCell ref="D4:N4"/>
    <mergeCell ref="A5:B5"/>
    <mergeCell ref="D5:N5"/>
    <mergeCell ref="A6:G6"/>
    <mergeCell ref="H6:N6"/>
    <mergeCell ref="A20:K20"/>
    <mergeCell ref="L20:N20"/>
    <mergeCell ref="A21:K21"/>
    <mergeCell ref="L21:N21"/>
    <mergeCell ref="A22:K22"/>
    <mergeCell ref="L22:N22"/>
  </mergeCells>
  <dataValidations count="1">
    <dataValidation allowBlank="false" error="Hanya boleh memilih Pass atau Failed" errorStyle="stop" errorTitle="Input Tidak Valid" operator="between" showDropDown="false" showErrorMessage="true" showInputMessage="false" sqref="N9:N1000" type="list">
      <formula1>"Pass,Failed"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2026-06-03T12:37:19Z</dcterms:created>
  <dc:creator>openpyxl</dc:creator>
  <dc:description/>
  <dc:language>en-US</dc:language>
  <cp:lastModifiedBy/>
  <dcterms:modified xsi:type="dcterms:W3CDTF">2026-06-03T12:37:19Z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